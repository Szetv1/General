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kalman.roth\Desktop\"/>
    </mc:Choice>
  </mc:AlternateContent>
  <xr:revisionPtr revIDLastSave="0" documentId="8_{66BC1955-BA63-400D-BF31-25B6F5BB1671}" xr6:coauthVersionLast="47" xr6:coauthVersionMax="47" xr10:uidLastSave="{00000000-0000-0000-0000-000000000000}"/>
  <bookViews>
    <workbookView xWindow="-120" yWindow="-120" windowWidth="29040" windowHeight="15720" xr2:uid="{A3ACB530-3271-4D03-8BC4-98C7585269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5" i="1"/>
  <c r="F6" i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4" i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4" i="1"/>
  <c r="E4" i="1" s="1"/>
</calcChain>
</file>

<file path=xl/sharedStrings.xml><?xml version="1.0" encoding="utf-8"?>
<sst xmlns="http://schemas.openxmlformats.org/spreadsheetml/2006/main" count="6" uniqueCount="6">
  <si>
    <t>Év</t>
  </si>
  <si>
    <t>Béremelkedés</t>
  </si>
  <si>
    <t>Bruttó átlegkereset</t>
  </si>
  <si>
    <t>Infláció</t>
  </si>
  <si>
    <t>Nyugdijemeles</t>
  </si>
  <si>
    <t>Összesen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</si>
</sst>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KTypeRegular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FEEC2-0A76-440A-8418-51B109AAC37C}">
  <dimension ref="A1:F19"/>
  <sheetViews>
    <sheetView tabSelected="1" workbookViewId="0">
      <selection activeCell="G20" sqref="G20"/>
    </sheetView>
  </sheetViews>
  <sheetFormatPr defaultRowHeight="15" x14ac:dyDescent="0.25"/>
  <cols>
    <col min="3" max="3" width="11.5" customWidth="1"/>
  </cols>
  <sheetData>
    <row r="1" spans="1:6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3" spans="1:6" x14ac:dyDescent="0.25">
      <c r="A3">
        <v>2009</v>
      </c>
      <c r="B3">
        <v>199.83699999999999</v>
      </c>
      <c r="F3">
        <v>1</v>
      </c>
    </row>
    <row r="4" spans="1:6" x14ac:dyDescent="0.25">
      <c r="A4">
        <v>2010</v>
      </c>
      <c r="B4">
        <v>202.52500000000001</v>
      </c>
      <c r="C4">
        <f>(B4-B3)/B3*100</f>
        <v>1.3450962534465674</v>
      </c>
      <c r="D4">
        <v>4.9000000000000004</v>
      </c>
      <c r="E4">
        <f>C4/2+D4/2</f>
        <v>3.122548126723284</v>
      </c>
      <c r="F4">
        <f>F3*(1+E4/100)</f>
        <v>1.0312254812672328</v>
      </c>
    </row>
    <row r="5" spans="1:6" x14ac:dyDescent="0.25">
      <c r="A5">
        <v>2011</v>
      </c>
      <c r="B5">
        <v>213.09399999999999</v>
      </c>
      <c r="C5">
        <f t="shared" ref="C5:C19" si="0">(B5-B4)/B4*100</f>
        <v>5.2186149858042157</v>
      </c>
      <c r="D5">
        <v>3.9</v>
      </c>
      <c r="E5">
        <f t="shared" ref="E5:E19" si="1">C5/2+D5/2</f>
        <v>4.559307492902108</v>
      </c>
      <c r="F5">
        <f t="shared" ref="F5:F18" si="2">F4*(1+E5/100)</f>
        <v>1.0782422219033654</v>
      </c>
    </row>
    <row r="6" spans="1:6" x14ac:dyDescent="0.25">
      <c r="A6">
        <v>2012</v>
      </c>
      <c r="B6">
        <v>223.06</v>
      </c>
      <c r="C6">
        <f t="shared" si="0"/>
        <v>4.6768092954283125</v>
      </c>
      <c r="D6">
        <v>5.7</v>
      </c>
      <c r="E6">
        <f t="shared" si="1"/>
        <v>5.1884046477141563</v>
      </c>
      <c r="F6">
        <f t="shared" si="2"/>
        <v>1.1341857914582159</v>
      </c>
    </row>
    <row r="7" spans="1:6" x14ac:dyDescent="0.25">
      <c r="A7">
        <v>2013</v>
      </c>
      <c r="B7">
        <v>230.714</v>
      </c>
      <c r="C7">
        <f t="shared" si="0"/>
        <v>3.4313637586299635</v>
      </c>
      <c r="D7">
        <v>1.7</v>
      </c>
      <c r="E7">
        <f t="shared" si="1"/>
        <v>2.5656818793149818</v>
      </c>
      <c r="F7">
        <f t="shared" si="2"/>
        <v>1.1632853907874245</v>
      </c>
    </row>
    <row r="8" spans="1:6" x14ac:dyDescent="0.25">
      <c r="A8">
        <v>2014</v>
      </c>
      <c r="B8">
        <v>237.69499999999999</v>
      </c>
      <c r="C8">
        <f t="shared" si="0"/>
        <v>3.0258241805872181</v>
      </c>
      <c r="D8">
        <v>-0.2</v>
      </c>
      <c r="E8">
        <f t="shared" si="1"/>
        <v>1.412912090293609</v>
      </c>
      <c r="F8">
        <f t="shared" si="2"/>
        <v>1.1797215907184795</v>
      </c>
    </row>
    <row r="9" spans="1:6" x14ac:dyDescent="0.25">
      <c r="A9">
        <v>2015</v>
      </c>
      <c r="B9">
        <v>247.92400000000001</v>
      </c>
      <c r="C9">
        <f t="shared" si="0"/>
        <v>4.3034140389995637</v>
      </c>
      <c r="D9">
        <v>-0.1</v>
      </c>
      <c r="E9">
        <f t="shared" si="1"/>
        <v>2.101707019499782</v>
      </c>
      <c r="F9">
        <f t="shared" si="2"/>
        <v>1.2045158822011643</v>
      </c>
    </row>
    <row r="10" spans="1:6" x14ac:dyDescent="0.25">
      <c r="A10">
        <v>2016</v>
      </c>
      <c r="B10">
        <v>263.17099999999999</v>
      </c>
      <c r="C10">
        <f t="shared" si="0"/>
        <v>6.149868508091183</v>
      </c>
      <c r="D10">
        <v>0.4</v>
      </c>
      <c r="E10">
        <f t="shared" si="1"/>
        <v>3.2749342540455917</v>
      </c>
      <c r="F10">
        <f t="shared" si="2"/>
        <v>1.2439629854227898</v>
      </c>
    </row>
    <row r="11" spans="1:6" x14ac:dyDescent="0.25">
      <c r="A11">
        <v>2017</v>
      </c>
      <c r="B11">
        <v>297.017</v>
      </c>
      <c r="C11">
        <f t="shared" si="0"/>
        <v>12.860839530191399</v>
      </c>
      <c r="D11">
        <v>2.4</v>
      </c>
      <c r="E11">
        <f t="shared" si="1"/>
        <v>7.6304197650956995</v>
      </c>
      <c r="F11">
        <f t="shared" si="2"/>
        <v>1.3388825829329649</v>
      </c>
    </row>
    <row r="12" spans="1:6" x14ac:dyDescent="0.25">
      <c r="A12">
        <v>2018</v>
      </c>
      <c r="B12">
        <v>329.94299999999998</v>
      </c>
      <c r="C12">
        <f t="shared" si="0"/>
        <v>11.085560759148462</v>
      </c>
      <c r="D12">
        <v>2.8</v>
      </c>
      <c r="E12">
        <f t="shared" si="1"/>
        <v>6.9427803795742307</v>
      </c>
      <c r="F12">
        <f t="shared" si="2"/>
        <v>1.4318382602063715</v>
      </c>
    </row>
    <row r="13" spans="1:6" x14ac:dyDescent="0.25">
      <c r="A13">
        <v>2019</v>
      </c>
      <c r="B13">
        <v>345.45299999999997</v>
      </c>
      <c r="C13">
        <f t="shared" si="0"/>
        <v>4.7008119584291812</v>
      </c>
      <c r="D13">
        <v>3.4</v>
      </c>
      <c r="E13">
        <f t="shared" si="1"/>
        <v>4.0504059792145908</v>
      </c>
      <c r="F13">
        <f t="shared" si="2"/>
        <v>1.4898335227104527</v>
      </c>
    </row>
    <row r="14" spans="1:6" x14ac:dyDescent="0.25">
      <c r="A14">
        <v>2020</v>
      </c>
      <c r="B14">
        <v>377.66300000000001</v>
      </c>
      <c r="C14">
        <f t="shared" si="0"/>
        <v>9.3239890810037949</v>
      </c>
      <c r="D14">
        <v>3.3</v>
      </c>
      <c r="E14">
        <f t="shared" si="1"/>
        <v>6.3119945405018978</v>
      </c>
      <c r="F14">
        <f t="shared" si="2"/>
        <v>1.5838717333265038</v>
      </c>
    </row>
    <row r="15" spans="1:6" x14ac:dyDescent="0.25">
      <c r="A15">
        <v>2021</v>
      </c>
      <c r="B15">
        <v>413.072</v>
      </c>
      <c r="C15">
        <f t="shared" si="0"/>
        <v>9.3758191827105097</v>
      </c>
      <c r="D15">
        <v>5.0999999999999996</v>
      </c>
      <c r="E15">
        <f t="shared" si="1"/>
        <v>7.2379095913552547</v>
      </c>
      <c r="F15">
        <f t="shared" si="2"/>
        <v>1.6985109374277076</v>
      </c>
    </row>
    <row r="16" spans="1:6" x14ac:dyDescent="0.25">
      <c r="A16">
        <v>2022</v>
      </c>
      <c r="B16">
        <v>487.61700000000002</v>
      </c>
      <c r="C16">
        <f t="shared" si="0"/>
        <v>18.046490684432744</v>
      </c>
      <c r="D16">
        <v>14.5</v>
      </c>
      <c r="E16">
        <f t="shared" si="1"/>
        <v>16.27324534221637</v>
      </c>
      <c r="F16">
        <f t="shared" si="2"/>
        <v>1.9749137894396978</v>
      </c>
    </row>
    <row r="17" spans="1:6" x14ac:dyDescent="0.25">
      <c r="A17">
        <v>2023</v>
      </c>
      <c r="B17">
        <v>557.84400000000005</v>
      </c>
      <c r="C17">
        <f t="shared" si="0"/>
        <v>14.402081961867619</v>
      </c>
      <c r="D17">
        <v>17.600000000000001</v>
      </c>
      <c r="E17">
        <f t="shared" si="1"/>
        <v>16.001040980933809</v>
      </c>
      <c r="F17">
        <f t="shared" si="2"/>
        <v>2.2909205542260564</v>
      </c>
    </row>
    <row r="18" spans="1:6" x14ac:dyDescent="0.25">
      <c r="A18">
        <v>2024</v>
      </c>
      <c r="B18">
        <v>631.62099999999998</v>
      </c>
      <c r="C18">
        <f t="shared" si="0"/>
        <v>13.225382006439062</v>
      </c>
      <c r="D18">
        <v>3.7</v>
      </c>
      <c r="E18">
        <f t="shared" si="1"/>
        <v>8.4626910032195308</v>
      </c>
      <c r="F18">
        <f t="shared" si="2"/>
        <v>2.4847940818594516</v>
      </c>
    </row>
    <row r="19" spans="1:6" x14ac:dyDescent="0.25">
      <c r="A19">
        <v>2025</v>
      </c>
      <c r="B19">
        <v>688.67399999999998</v>
      </c>
      <c r="C19">
        <f t="shared" si="0"/>
        <v>9.0327902333836274</v>
      </c>
      <c r="D19">
        <v>4.4000000000000004</v>
      </c>
      <c r="E19">
        <f t="shared" si="1"/>
        <v>6.7163951166918139</v>
      </c>
      <c r="F19">
        <f>F18*(1+E19/100)</f>
        <v>2.6516826702333072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6F4EE6952227943AD9C6587FA6EECEC" ma:contentTypeVersion="15" ma:contentTypeDescription="Ein neues Dokument erstellen." ma:contentTypeScope="" ma:versionID="54a38b1725ed9f4f8d3d2c3a79290851">
  <xsd:schema xmlns:xsd="http://www.w3.org/2001/XMLSchema" xmlns:xs="http://www.w3.org/2001/XMLSchema" xmlns:p="http://schemas.microsoft.com/office/2006/metadata/properties" xmlns:ns3="00e147a5-1b5f-41e2-91fb-67ed1384b1b8" xmlns:ns4="ae9c2134-3e73-446f-897b-3d7ab181a834" targetNamespace="http://schemas.microsoft.com/office/2006/metadata/properties" ma:root="true" ma:fieldsID="aad8bf010b67cc624dd59eb0faeacc5f" ns3:_="" ns4:_="">
    <xsd:import namespace="00e147a5-1b5f-41e2-91fb-67ed1384b1b8"/>
    <xsd:import namespace="ae9c2134-3e73-446f-897b-3d7ab181a83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e147a5-1b5f-41e2-91fb-67ed1384b1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9c2134-3e73-446f-897b-3d7ab181a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9c2134-3e73-446f-897b-3d7ab181a834" xsi:nil="true"/>
  </documentManagement>
</p:properties>
</file>

<file path=customXml/itemProps1.xml><?xml version="1.0" encoding="utf-8"?>
<ds:datastoreItem xmlns:ds="http://schemas.openxmlformats.org/officeDocument/2006/customXml" ds:itemID="{A098D76E-D381-4AC3-A294-601C8B1C89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169249-6BD6-4FED-86C4-0EA436D4F3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e147a5-1b5f-41e2-91fb-67ed1384b1b8"/>
    <ds:schemaRef ds:uri="ae9c2134-3e73-446f-897b-3d7ab181a8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880CBC-E5BF-4F94-BDE4-89035F40B3A6}">
  <ds:schemaRefs>
    <ds:schemaRef ds:uri="http://purl.org/dc/elements/1.1/"/>
    <ds:schemaRef ds:uri="http://schemas.microsoft.com/office/2006/metadata/properties"/>
    <ds:schemaRef ds:uri="00e147a5-1b5f-41e2-91fb-67ed1384b1b8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ae9c2134-3e73-446f-897b-3d7ab181a834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3cf2a9b2-0cdb-4e78-9335-2adc17c4674f}" enabled="0" method="" siteId="{3cf2a9b2-0cdb-4e78-9335-2adc17c467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ThyssenKrupp Presta Steering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Róth, Kálmán</dc:creator>
  <cp:lastModifiedBy>Róth, Kálmán</cp:lastModifiedBy>
  <dcterms:created xsi:type="dcterms:W3CDTF">2026-05-26T14:49:46Z</dcterms:created>
  <dcterms:modified xsi:type="dcterms:W3CDTF">2026-05-26T15:08:16Z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0x01010016F4EE6952227943AD9C6587FA6EECEC</vt:lpwstr>
  </property>
</Properties>
</file>